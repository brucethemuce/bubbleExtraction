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<sst xmlns="http://schemas.openxmlformats.org/spreadsheetml/2006/main" count="10" uniqueCount="10">
  <si>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scfh</t>
  </si>
  <si>
    <t xml:space="preserve">Q (m3/s)</t>
  </si>
  <si>
    <t xml:space="preserve">A m2</t>
  </si>
  <si>
    <t xml:space="preserve">jg m/s</t>
  </si>
  <si>
    <t xml:space="preserve">mm/s</t>
  </si>
  <si>
    <t xml:space="preserve">061019_horizontal</t>
  </si>
  <si>
    <t xml:space="preserve">061019_0.7scfh_125fps_C001H001S0001</t>
  </si>
  <si>
    <t xml:space="preserve">061019_2scfh_250fps_C001H001S0001</t>
  </si>
  <si>
    <t xml:space="preserve">jg</t>
  </si>
  <si>
    <t xml:space="preserve">alpha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</si>
</sst>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35.24"/>
  </cols>
  <sheetData>
    <row r="1" customFormat="false" ht="97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</row>
    <row r="2" customFormat="false" ht="12.8" hidden="false" customHeight="false" outlineLevel="0" collapsed="false">
      <c r="A2" s="0" t="n">
        <v>0.1</v>
      </c>
      <c r="B2" s="0" t="n">
        <f aca="false">A2*0.0000078658</f>
        <v>7.8658E-007</v>
      </c>
      <c r="C2" s="0" t="n">
        <f aca="false">(2.5*25.4/1000)^2*PI()/4</f>
        <v>0.00316692174435936</v>
      </c>
      <c r="D2" s="2" t="n">
        <f aca="false">B2/C2</f>
        <v>0.000248373677499606</v>
      </c>
      <c r="E2" s="2" t="n">
        <f aca="false">D2*1000</f>
        <v>0.248373677499605</v>
      </c>
    </row>
    <row r="3" s="5" customFormat="true" ht="12.8" hidden="false" customHeight="false" outlineLevel="0" collapsed="false">
      <c r="A3" s="3" t="n">
        <v>0.7</v>
      </c>
      <c r="B3" s="3" t="n">
        <f aca="false">A3*0.0000078658</f>
        <v>5.50606E-006</v>
      </c>
      <c r="C3" s="3" t="n">
        <f aca="false">(2.5*25.4/1000)^2*PI()/4</f>
        <v>0.00316692174435936</v>
      </c>
      <c r="D3" s="4" t="n">
        <f aca="false">B3/C3</f>
        <v>0.00173861574249724</v>
      </c>
      <c r="E3" s="4" t="n">
        <f aca="false">D3*1000</f>
        <v>1.73861574249724</v>
      </c>
      <c r="F3" s="3" t="s">
        <v>6</v>
      </c>
    </row>
    <row r="4" s="5" customFormat="true" ht="12.8" hidden="false" customHeight="false" outlineLevel="0" collapsed="false">
      <c r="A4" s="5" t="n">
        <v>1</v>
      </c>
      <c r="B4" s="5" t="n">
        <f aca="false">A4*0.0000078658</f>
        <v>7.8658E-006</v>
      </c>
      <c r="C4" s="5" t="n">
        <f aca="false">(2.5*25.4/1000)^2*PI()/4</f>
        <v>0.00316692174435936</v>
      </c>
      <c r="D4" s="6" t="n">
        <f aca="false">B4/C4</f>
        <v>0.00248373677499606</v>
      </c>
      <c r="E4" s="6" t="n">
        <f aca="false">D4*1000</f>
        <v>2.48373677499606</v>
      </c>
    </row>
    <row r="5" s="5" customFormat="true" ht="12.8" hidden="false" customHeight="false" outlineLevel="0" collapsed="false">
      <c r="A5" s="3" t="n">
        <v>2</v>
      </c>
      <c r="B5" s="3" t="n">
        <f aca="false">A5*0.0000078658</f>
        <v>1.57316E-005</v>
      </c>
      <c r="C5" s="3" t="n">
        <f aca="false">(2.5*25.4/1000)^2*PI()/4</f>
        <v>0.00316692174435936</v>
      </c>
      <c r="D5" s="4" t="n">
        <f aca="false">B5/C5</f>
        <v>0.00496747354999211</v>
      </c>
      <c r="E5" s="4" t="n">
        <f aca="false">D5*1000</f>
        <v>4.96747354999211</v>
      </c>
      <c r="F5" s="3" t="s">
        <v>7</v>
      </c>
    </row>
    <row r="6" s="5" customFormat="true" ht="12.8" hidden="false" customHeight="false" outlineLevel="0" collapsed="false">
      <c r="A6" s="5" t="n">
        <v>4</v>
      </c>
      <c r="B6" s="5" t="n">
        <f aca="false">A6*0.0000078658</f>
        <v>3.14632E-005</v>
      </c>
      <c r="C6" s="5" t="n">
        <f aca="false">(2.5*25.4/1000)^2*PI()/4</f>
        <v>0.00316692174435936</v>
      </c>
      <c r="D6" s="6" t="n">
        <f aca="false">B6/C6</f>
        <v>0.00993494709998422</v>
      </c>
      <c r="E6" s="6" t="n">
        <f aca="false">D6*1000</f>
        <v>9.93494709998422</v>
      </c>
    </row>
    <row r="7" customFormat="false" ht="12.8" hidden="false" customHeight="false" outlineLevel="0" collapsed="false">
      <c r="A7" s="0" t="n">
        <v>10</v>
      </c>
      <c r="B7" s="0" t="n">
        <f aca="false">A7*0.0000078658</f>
        <v>7.8658E-005</v>
      </c>
      <c r="C7" s="0" t="n">
        <f aca="false">(2.5*25.4/1000)^2*PI()/4</f>
        <v>0.00316692174435936</v>
      </c>
      <c r="D7" s="2" t="n">
        <f aca="false">B7/C7</f>
        <v>0.0248373677499606</v>
      </c>
      <c r="E7" s="2" t="n">
        <f aca="false">D7*1000</f>
        <v>24.8373677499606</v>
      </c>
    </row>
    <row r="15" customFormat="false" ht="12.8" hidden="false" customHeight="false" outlineLevel="0" collapsed="false">
      <c r="A15" s="0" t="s">
        <v>8</v>
      </c>
      <c r="B15" s="0" t="s">
        <v>9</v>
      </c>
    </row>
    <row r="16" customFormat="false" ht="12.8" hidden="false" customHeight="false" outlineLevel="0" collapsed="false">
      <c r="A16" s="7" t="n">
        <v>1.77</v>
      </c>
      <c r="B16" s="0" t="n">
        <v>0.0058</v>
      </c>
    </row>
    <row r="17" customFormat="false" ht="12.8" hidden="false" customHeight="false" outlineLevel="0" collapsed="false">
      <c r="A17" s="7" t="n">
        <v>2.62</v>
      </c>
      <c r="B17" s="0" t="n">
        <v>0.00743</v>
      </c>
    </row>
    <row r="18" customFormat="false" ht="12.8" hidden="false" customHeight="false" outlineLevel="0" collapsed="false">
      <c r="A18" s="7" t="n">
        <v>5.07</v>
      </c>
      <c r="B18" s="0" t="n">
        <v>0.0146</v>
      </c>
    </row>
    <row r="19" customFormat="false" ht="12.8" hidden="false" customHeight="false" outlineLevel="0" collapsed="false">
      <c r="A19" s="7" t="n">
        <v>7.47</v>
      </c>
      <c r="B19" s="0" t="n">
        <v>0.0214</v>
      </c>
    </row>
    <row r="20" customFormat="false" ht="12.8" hidden="false" customHeight="false" outlineLevel="0" collapsed="false">
      <c r="A20" s="7" t="n">
        <v>9.92</v>
      </c>
      <c r="B20" s="0" t="n">
        <v>0.0274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2026-03-16T09:44:09Z</dcterms:created>
  <dc:creator/>
  <dc:description/>
  <dc:language>en-US</dc:language>
  <cp:lastModifiedBy/>
  <dcterms:modified xsi:type="dcterms:W3CDTF">2026-03-16T10:04:09Z</dcterms:modified>
  <cp:revision>2</cp:revision>
  <dc:subject/>
  <dc:title/>
</cp:coreProperties>
</file>